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Trabajo" sheetId="1" state="visible" r:id="rId1"/>
    <sheet name="Diagnóstico" sheetId="2" state="visible" r:id="rId2"/>
    <sheet name="VSM" sheetId="3" state="visible" r:id="rId3"/>
    <sheet name="Riesgos" sheetId="4" state="visible" r:id="rId4"/>
    <sheet name="Desperdicio" sheetId="5" state="visible" r:id="rId5"/>
    <sheet name="Priorización" sheetId="6" state="visible" r:id="rId6"/>
    <sheet name="Plan 30 días" sheetId="7" state="visible" r:id="rId7"/>
    <sheet name="Seguimi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B5DEA"/>
      <sz val="12"/>
    </font>
    <font>
      <name val="Calibri"/>
      <b val="1"/>
      <sz val="11"/>
    </font>
    <font>
      <name val="Calibri"/>
      <b val="1"/>
      <color rgb="000A1628"/>
      <sz val="10"/>
    </font>
    <font>
      <name val="Calibri"/>
      <color rgb="000A1628"/>
      <sz val="10"/>
    </font>
  </fonts>
  <fills count="5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0F2F5"/>
        <bgColor rgb="00F0F2F5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  <col width="22" customWidth="1" min="5" max="5"/>
    <col width="14" customWidth="1" min="6" max="6"/>
    <col width="14" customWidth="1" min="7" max="7"/>
    <col width="32" customWidth="1" min="8" max="8"/>
  </cols>
  <sheetData>
    <row r="1" ht="30" customHeight="1">
      <c r="A1" s="1" t="inlineStr">
        <is>
          <t>OpsFlow — Bootcamp de Optimización Operativa IESA</t>
        </is>
      </c>
    </row>
    <row r="2" ht="20" customHeight="1">
      <c r="A2" s="2" t="inlineStr">
        <is>
          <t>Prof. Ulises González | 25-26 de marzo 2026 | Virtual sincrónica | 6 horas académicas</t>
        </is>
      </c>
    </row>
    <row r="4">
      <c r="A4" s="3" t="inlineStr">
        <is>
          <t>#</t>
        </is>
      </c>
      <c r="B4" s="3" t="inlineStr">
        <is>
          <t>Módulo</t>
        </is>
      </c>
      <c r="C4" s="3" t="inlineStr">
        <is>
          <t>Objetivo</t>
        </is>
      </c>
      <c r="D4" s="3" t="inlineStr">
        <is>
          <t>Entregable</t>
        </is>
      </c>
      <c r="E4" s="3" t="inlineStr">
        <is>
          <t>Herramientas clave</t>
        </is>
      </c>
      <c r="F4" s="3" t="inlineStr">
        <is>
          <t>Tiempo sugerido</t>
        </is>
      </c>
      <c r="G4" s="3" t="inlineStr">
        <is>
          <t>Sesión</t>
        </is>
      </c>
      <c r="H4" s="3" t="inlineStr">
        <is>
          <t>Referencia</t>
        </is>
      </c>
    </row>
    <row r="5">
      <c r="A5" s="4" t="n">
        <v>1</v>
      </c>
      <c r="B5" s="4" t="inlineStr">
        <is>
          <t>Contexto del caso</t>
        </is>
      </c>
      <c r="C5" s="4" t="inlineStr">
        <is>
          <t>Definir empresa, sector, proceso y métricas base que sirvan de línea de comparación</t>
        </is>
      </c>
      <c r="D5" s="4" t="inlineStr">
        <is>
          <t>Ficha del caso con 5 métricas universales + métricas específicas del sector</t>
        </is>
      </c>
      <c r="E5" s="4" t="inlineStr">
        <is>
          <t>Formulario OpsFlow</t>
        </is>
      </c>
      <c r="F5" s="4" t="inlineStr">
        <is>
          <t>15 min</t>
        </is>
      </c>
      <c r="G5" s="4" t="inlineStr">
        <is>
          <t>Sesión 1</t>
        </is>
      </c>
      <c r="H5" s="4" t="inlineStr">
        <is>
          <t>Womack &amp; Jones — Lean Thinking, Cap. 1</t>
        </is>
      </c>
    </row>
    <row r="6">
      <c r="A6" s="5" t="n">
        <v>2</v>
      </c>
      <c r="B6" s="5" t="inlineStr">
        <is>
          <t>Diagnóstico de madurez</t>
        </is>
      </c>
      <c r="C6" s="5" t="inlineStr">
        <is>
          <t>Evaluar 15 dimensiones operativas para identificar fortalezas, gaps y contradicciones</t>
        </is>
      </c>
      <c r="D6" s="5" t="inlineStr">
        <is>
          <t>Puntaje de madurez (bajo/medio/alto) + análisis IA con hallazgos críticos</t>
        </is>
      </c>
      <c r="E6" s="5" t="inlineStr">
        <is>
          <t>OpsFlow + IA</t>
        </is>
      </c>
      <c r="F6" s="5" t="inlineStr">
        <is>
          <t>30 min</t>
        </is>
      </c>
      <c r="G6" s="5" t="inlineStr">
        <is>
          <t>Sesión 1</t>
        </is>
      </c>
      <c r="H6" s="5" t="inlineStr">
        <is>
          <t>CMMI Institute — Capability Maturity Model</t>
        </is>
      </c>
    </row>
    <row r="7">
      <c r="A7" s="4" t="n">
        <v>3</v>
      </c>
      <c r="B7" s="4" t="inlineStr">
        <is>
          <t>Mapa de flujo de valor (VSM)</t>
        </is>
      </c>
      <c r="C7" s="4" t="inlineStr">
        <is>
          <t>Mapear cada paso del proceso con tiempos reales, esperas y retrabajo</t>
        </is>
      </c>
      <c r="D7" s="4" t="inlineStr">
        <is>
          <t>VSM completo con lead time, eficiencia de flujo y cuello de botella identificado</t>
        </is>
      </c>
      <c r="E7" s="4" t="inlineStr">
        <is>
          <t>OpsFlow tabla editable</t>
        </is>
      </c>
      <c r="F7" s="4" t="inlineStr">
        <is>
          <t>45 min</t>
        </is>
      </c>
      <c r="G7" s="4" t="inlineStr">
        <is>
          <t>Sesión 1-2</t>
        </is>
      </c>
      <c r="H7" s="4" t="inlineStr">
        <is>
          <t>Rother &amp; Shook — Learning to See</t>
        </is>
      </c>
    </row>
    <row r="8">
      <c r="A8" s="5" t="n">
        <v>4</v>
      </c>
      <c r="B8" s="5" t="inlineStr">
        <is>
          <t>Riesgo contextual</t>
        </is>
      </c>
      <c r="C8" s="5" t="inlineStr">
        <is>
          <t>Identificar riesgos operativos específicos del contexto (energía, talento, proveedores)</t>
        </is>
      </c>
      <c r="D8" s="5" t="inlineStr">
        <is>
          <t>Matriz de riesgos con exposición, señales tempranas y mitigaciones</t>
        </is>
      </c>
      <c r="E8" s="5" t="inlineStr">
        <is>
          <t>OpsFlow + IA</t>
        </is>
      </c>
      <c r="F8" s="5" t="inlineStr">
        <is>
          <t>20 min</t>
        </is>
      </c>
      <c r="G8" s="5" t="inlineStr">
        <is>
          <t>Sesión 2</t>
        </is>
      </c>
      <c r="H8" s="5" t="inlineStr">
        <is>
          <t>ISO 31000:2018 — Risk Management</t>
        </is>
      </c>
    </row>
    <row r="9">
      <c r="A9" s="4" t="n">
        <v>5</v>
      </c>
      <c r="B9" s="4" t="inlineStr">
        <is>
          <t>Costo del desperdicio</t>
        </is>
      </c>
      <c r="C9" s="4" t="inlineStr">
        <is>
          <t>Cuantificar en USD mensuales el impacto económico de cada problema operativo</t>
        </is>
      </c>
      <c r="D9" s="4" t="inlineStr">
        <is>
          <t>Ranking de fugas económicas con costo laboral + margen perdido</t>
        </is>
      </c>
      <c r="E9" s="4" t="inlineStr">
        <is>
          <t>OpsFlow cálculos automáticos</t>
        </is>
      </c>
      <c r="F9" s="4" t="inlineStr">
        <is>
          <t>20 min</t>
        </is>
      </c>
      <c r="G9" s="4" t="inlineStr">
        <is>
          <t>Sesión 2</t>
        </is>
      </c>
      <c r="H9" s="4" t="inlineStr">
        <is>
          <t>ASQ — Cost of Quality (COQ)</t>
        </is>
      </c>
    </row>
    <row r="10">
      <c r="A10" s="5" t="n">
        <v>6</v>
      </c>
      <c r="B10" s="5" t="inlineStr">
        <is>
          <t>Priorización de iniciativas</t>
        </is>
      </c>
      <c r="C10" s="5" t="inlineStr">
        <is>
          <t>Evaluar y clasificar iniciativas por impacto, factibilidad y esfuerzo</t>
        </is>
      </c>
      <c r="D10" s="5" t="inlineStr">
        <is>
          <t>Ranking: Atacar ya / Diseñar / Postergar con scores ponderados</t>
        </is>
      </c>
      <c r="E10" s="5" t="inlineStr">
        <is>
          <t>OpsFlow matriz ponderada</t>
        </is>
      </c>
      <c r="F10" s="5" t="inlineStr">
        <is>
          <t>15 min</t>
        </is>
      </c>
      <c r="G10" s="5" t="inlineStr">
        <is>
          <t>Sesión 2</t>
        </is>
      </c>
      <c r="H10" s="5" t="inlineStr">
        <is>
          <t>ASQ — Decision Matrix</t>
        </is>
      </c>
    </row>
    <row r="11">
      <c r="A11" s="4" t="n">
        <v>7</v>
      </c>
      <c r="B11" s="4" t="inlineStr">
        <is>
          <t>Plan de 30 días</t>
        </is>
      </c>
      <c r="C11" s="4" t="inlineStr">
        <is>
          <t>Convertir iniciativas priorizadas en acciones concretas con responsables y métricas</t>
        </is>
      </c>
      <c r="D11" s="4" t="inlineStr">
        <is>
          <t>Plan con 3-5 acciones, métrica líder, línea base, meta y contingencia</t>
        </is>
      </c>
      <c r="E11" s="4" t="inlineStr">
        <is>
          <t>OpsFlow + IA</t>
        </is>
      </c>
      <c r="F11" s="4" t="inlineStr">
        <is>
          <t>25 min</t>
        </is>
      </c>
      <c r="G11" s="4" t="inlineStr">
        <is>
          <t>Sesión 2</t>
        </is>
      </c>
      <c r="H11" s="4" t="inlineStr">
        <is>
          <t>Deming — PDCA / PDSA Cycle</t>
        </is>
      </c>
    </row>
    <row r="12">
      <c r="A12" s="5" t="n">
        <v>8</v>
      </c>
      <c r="B12" s="5" t="inlineStr">
        <is>
          <t>Seguimiento semanal</t>
        </is>
      </c>
      <c r="C12" s="5" t="inlineStr">
        <is>
          <t>Registrar métricas semanales y detectar tendencias de deterioro</t>
        </is>
      </c>
      <c r="D12" s="5" t="inlineStr">
        <is>
          <t>Dashboard de tendencias con alertas automáticas</t>
        </is>
      </c>
      <c r="E12" s="5" t="inlineStr">
        <is>
          <t>OpsFlow tracking</t>
        </is>
      </c>
      <c r="F12" s="5" t="inlineStr">
        <is>
          <t>10 min/sem</t>
        </is>
      </c>
      <c r="G12" s="5" t="inlineStr">
        <is>
          <t>Post-bootcamp</t>
        </is>
      </c>
      <c r="H12" s="5" t="inlineStr">
        <is>
          <t>Wheeler — Understanding Variation</t>
        </is>
      </c>
    </row>
    <row r="13">
      <c r="A13" s="4" t="n">
        <v>9</v>
      </c>
      <c r="B13" s="4" t="inlineStr">
        <is>
          <t>Reporte ejecutivo</t>
        </is>
      </c>
      <c r="C13" s="4" t="inlineStr">
        <is>
          <t>Consolidar hallazgos en formato presentable para gerencia o sponsor</t>
        </is>
      </c>
      <c r="D13" s="4" t="inlineStr">
        <is>
          <t>Reporte con: madurez, cuello, riesgo, fuga, quick wins, plan, seguimiento</t>
        </is>
      </c>
      <c r="E13" s="4" t="inlineStr">
        <is>
          <t>OpsFlow + IA export</t>
        </is>
      </c>
      <c r="F13" s="4" t="inlineStr">
        <is>
          <t>15 min</t>
        </is>
      </c>
      <c r="G13" s="4" t="inlineStr">
        <is>
          <t>Sesión 2</t>
        </is>
      </c>
      <c r="H13" s="4" t="inlineStr">
        <is>
          <t>Minto — The Pyramid Principle</t>
        </is>
      </c>
    </row>
    <row r="15">
      <c r="A15" s="2" t="inlineStr"/>
    </row>
    <row r="16" ht="22" customHeight="1">
      <c r="A16" s="8" t="inlineStr">
        <is>
          <t>INSTRUCCIONES</t>
        </is>
      </c>
    </row>
    <row r="17" ht="35" customHeight="1">
      <c r="A17" s="9" t="inlineStr">
        <is>
          <t>1. Esta hoja resume los 9 pasos del bootcamp. Cada módulo tiene su propia hoja con el formato de trabajo.</t>
        </is>
      </c>
    </row>
    <row r="18" ht="35" customHeight="1">
      <c r="A18" s="9" t="inlineStr">
        <is>
          <t>2. La columna 'Tiempo sugerido' es orientativa — ajusta según el ritmo del grupo.</t>
        </is>
      </c>
    </row>
    <row r="19" ht="35" customHeight="1">
      <c r="A19" s="9" t="inlineStr">
        <is>
          <t>3. La columna 'Referencia' indica la fuente académica principal de cada módulo. Consúltalas para profundizar.</t>
        </is>
      </c>
    </row>
    <row r="20" ht="35" customHeight="1">
      <c r="A20" s="9" t="inlineStr">
        <is>
          <t>4. Los módulos están diseñados para seguirse en orden secuencial. Cada uno construye sobre el anterior.</t>
        </is>
      </c>
    </row>
    <row r="21" ht="35" customHeight="1">
      <c r="A21" s="9" t="inlineStr">
        <is>
          <t>5. En la plataforma OpsFlow cada módulo tiene una guía teórica completa antes del ejercicio práctico.</t>
        </is>
      </c>
    </row>
  </sheetData>
  <mergeCells count="9">
    <mergeCell ref="A15:I15"/>
    <mergeCell ref="A19:I19"/>
    <mergeCell ref="A2:H2"/>
    <mergeCell ref="A17:I17"/>
    <mergeCell ref="A18:I18"/>
    <mergeCell ref="A1:H1"/>
    <mergeCell ref="A20:I20"/>
    <mergeCell ref="A21:I2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5DEA"/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6" t="inlineStr">
        <is>
          <t>Diagnóstico de Madurez Operativa</t>
        </is>
      </c>
    </row>
    <row r="3">
      <c r="A3" s="3" t="inlineStr">
        <is>
          <t>#</t>
        </is>
      </c>
      <c r="B3" s="3" t="inlineStr">
        <is>
          <t>Categoría</t>
        </is>
      </c>
      <c r="C3" s="3" t="inlineStr">
        <is>
          <t>Pregunta</t>
        </is>
      </c>
      <c r="D3" s="3" t="inlineStr">
        <is>
          <t>Puntaje (1-5)</t>
        </is>
      </c>
      <c r="E3" s="3" t="inlineStr">
        <is>
          <t>Comentarios</t>
        </is>
      </c>
    </row>
    <row r="4">
      <c r="A4" s="4" t="n">
        <v>1</v>
      </c>
      <c r="B4" s="4" t="inlineStr">
        <is>
          <t>Planificación</t>
        </is>
      </c>
      <c r="C4" s="4" t="inlineStr">
        <is>
          <t>El flujo del proceso principal está documentado y es conocido por los involucrados</t>
        </is>
      </c>
      <c r="D4" s="4" t="inlineStr"/>
      <c r="E4" s="4" t="inlineStr"/>
    </row>
    <row r="5">
      <c r="A5" s="5" t="n">
        <v>2</v>
      </c>
      <c r="B5" s="5" t="inlineStr">
        <is>
          <t>Planificación</t>
        </is>
      </c>
      <c r="C5" s="5" t="inlineStr">
        <is>
          <t>Los roles y responsabilidades en cada paso están claramente asignados</t>
        </is>
      </c>
      <c r="D5" s="5" t="inlineStr"/>
      <c r="E5" s="5" t="inlineStr"/>
    </row>
    <row r="6">
      <c r="A6" s="4" t="n">
        <v>3</v>
      </c>
      <c r="B6" s="4" t="inlineStr">
        <is>
          <t>Planificación</t>
        </is>
      </c>
      <c r="C6" s="4" t="inlineStr">
        <is>
          <t>Existen métricas de desempeño definidas y revisadas periódicamente</t>
        </is>
      </c>
      <c r="D6" s="4" t="inlineStr"/>
      <c r="E6" s="4" t="inlineStr"/>
    </row>
    <row r="7">
      <c r="A7" s="5" t="n">
        <v>4</v>
      </c>
      <c r="B7" s="5" t="inlineStr">
        <is>
          <t>Ejecución</t>
        </is>
      </c>
      <c r="C7" s="5" t="inlineStr">
        <is>
          <t>Se cumplen los estándares operativos establecidos de forma consistente</t>
        </is>
      </c>
      <c r="D7" s="5" t="inlineStr"/>
      <c r="E7" s="5" t="inlineStr"/>
    </row>
    <row r="8">
      <c r="A8" s="4" t="n">
        <v>5</v>
      </c>
      <c r="B8" s="4" t="inlineStr">
        <is>
          <t>Ejecución</t>
        </is>
      </c>
      <c r="C8" s="4" t="inlineStr">
        <is>
          <t>Las incidencias se gestionan con un proceso claro de escalamiento</t>
        </is>
      </c>
      <c r="D8" s="4" t="inlineStr"/>
      <c r="E8" s="4" t="inlineStr"/>
    </row>
    <row r="9">
      <c r="A9" s="5" t="n">
        <v>6</v>
      </c>
      <c r="B9" s="5" t="inlineStr">
        <is>
          <t>Ejecución</t>
        </is>
      </c>
      <c r="C9" s="5" t="inlineStr">
        <is>
          <t>La coordinación entre áreas es fluida y no depende de canales informales</t>
        </is>
      </c>
      <c r="D9" s="5" t="inlineStr"/>
      <c r="E9" s="5" t="inlineStr"/>
    </row>
    <row r="10">
      <c r="A10" s="4" t="n">
        <v>7</v>
      </c>
      <c r="B10" s="4" t="inlineStr">
        <is>
          <t>Control</t>
        </is>
      </c>
      <c r="C10" s="4" t="inlineStr">
        <is>
          <t>Se cuentan con indicadores de seguimiento actualizados semanalmente</t>
        </is>
      </c>
      <c r="D10" s="4" t="inlineStr"/>
      <c r="E10" s="4" t="inlineStr"/>
    </row>
    <row r="11">
      <c r="A11" s="5" t="n">
        <v>8</v>
      </c>
      <c r="B11" s="5" t="inlineStr">
        <is>
          <t>Control</t>
        </is>
      </c>
      <c r="C11" s="5" t="inlineStr">
        <is>
          <t>Se realizan auditorías internas o revisiones periódicas del proceso</t>
        </is>
      </c>
      <c r="D11" s="5" t="inlineStr"/>
      <c r="E11" s="5" t="inlineStr"/>
    </row>
    <row r="12">
      <c r="A12" s="4" t="n">
        <v>9</v>
      </c>
      <c r="B12" s="4" t="inlineStr">
        <is>
          <t>Control</t>
        </is>
      </c>
      <c r="C12" s="4" t="inlineStr">
        <is>
          <t>Existe retroalimentación formal entre las áreas del flujo</t>
        </is>
      </c>
      <c r="D12" s="4" t="inlineStr"/>
      <c r="E12" s="4" t="inlineStr"/>
    </row>
    <row r="13">
      <c r="A13" s="5" t="n">
        <v>10</v>
      </c>
      <c r="B13" s="5" t="inlineStr">
        <is>
          <t>Mejora</t>
        </is>
      </c>
      <c r="C13" s="5" t="inlineStr">
        <is>
          <t>Hay al menos un proyecto de mejora activo en el proceso principal</t>
        </is>
      </c>
      <c r="D13" s="5" t="inlineStr"/>
      <c r="E13" s="5" t="inlineStr"/>
    </row>
    <row r="14">
      <c r="A14" s="4" t="n">
        <v>11</v>
      </c>
      <c r="B14" s="4" t="inlineStr">
        <is>
          <t>Mejora</t>
        </is>
      </c>
      <c r="C14" s="4" t="inlineStr">
        <is>
          <t>La cultura de mejora continua está presente en el equipo operativo</t>
        </is>
      </c>
      <c r="D14" s="4" t="inlineStr"/>
      <c r="E14" s="4" t="inlineStr"/>
    </row>
    <row r="15">
      <c r="A15" s="5" t="n">
        <v>12</v>
      </c>
      <c r="B15" s="5" t="inlineStr">
        <is>
          <t>Mejora</t>
        </is>
      </c>
      <c r="C15" s="5" t="inlineStr">
        <is>
          <t>Se usan datos para tomar decisiones operativas, no solo intuición</t>
        </is>
      </c>
      <c r="D15" s="5" t="inlineStr"/>
      <c r="E15" s="5" t="inlineStr"/>
    </row>
    <row r="16">
      <c r="A16" s="4" t="n">
        <v>13</v>
      </c>
      <c r="B16" s="4" t="inlineStr">
        <is>
          <t>Contexto</t>
        </is>
      </c>
      <c r="C16" s="4" t="inlineStr">
        <is>
          <t>Existe un plan documentado ante cortes de energía eléctrica</t>
        </is>
      </c>
      <c r="D16" s="4" t="inlineStr"/>
      <c r="E16" s="4" t="inlineStr"/>
    </row>
    <row r="17">
      <c r="A17" s="5" t="n">
        <v>14</v>
      </c>
      <c r="B17" s="5" t="inlineStr">
        <is>
          <t>Contexto</t>
        </is>
      </c>
      <c r="C17" s="5" t="inlineStr">
        <is>
          <t>La reposición de materiales importados tiene alternativas identificadas</t>
        </is>
      </c>
      <c r="D17" s="5" t="inlineStr"/>
      <c r="E17" s="5" t="inlineStr"/>
    </row>
    <row r="18">
      <c r="A18" s="4" t="n">
        <v>15</v>
      </c>
      <c r="B18" s="4" t="inlineStr">
        <is>
          <t>Contexto</t>
        </is>
      </c>
      <c r="C18" s="4" t="inlineStr">
        <is>
          <t>Hay contingencias definidas ante fallas de proveedores de transporte</t>
        </is>
      </c>
      <c r="D18" s="4" t="inlineStr"/>
      <c r="E18" s="4" t="inlineStr"/>
    </row>
    <row r="20">
      <c r="B20" s="7" t="inlineStr">
        <is>
          <t>TOTAL</t>
        </is>
      </c>
      <c r="C20" s="7" t="inlineStr">
        <is>
          <t>Promedio</t>
        </is>
      </c>
      <c r="D20" s="7">
        <f>AVERAGE(D4:D18)</f>
        <v/>
      </c>
    </row>
    <row r="21">
      <c r="A21" s="2" t="inlineStr">
        <is>
          <t>Nivel: Bajo (&lt;2.5) | Medio (2.5-3.8) | Alto (≥3.8)</t>
        </is>
      </c>
    </row>
    <row r="22">
      <c r="A22" s="2" t="inlineStr"/>
    </row>
    <row r="23" ht="22" customHeight="1">
      <c r="A23" s="8" t="inlineStr">
        <is>
          <t>INSTRUCCIONES</t>
        </is>
      </c>
    </row>
    <row r="24" ht="35" customHeight="1">
      <c r="A24" s="9" t="inlineStr">
        <is>
          <t>1. Responde cada pregunta con el equipo, no solo una persona. El valor está en la discusión.</t>
        </is>
      </c>
    </row>
    <row r="25" ht="35" customHeight="1">
      <c r="A25" s="9" t="inlineStr">
        <is>
          <t>2. Escala: 1 = No existe o es muy informal | 3 = Existe pero no es consistente | 5 = Sistemático y medido.</t>
        </is>
      </c>
    </row>
    <row r="26" ht="35" customHeight="1">
      <c r="A26" s="9" t="inlineStr">
        <is>
          <t>3. Si hay desacuerdo en el equipo sobre un puntaje, registra el comentario explicando las perspectivas.</t>
        </is>
      </c>
    </row>
    <row r="27" ht="35" customHeight="1">
      <c r="A27" s="9" t="inlineStr">
        <is>
          <t>4. Revisa el promedio final: Bajo (&lt;2.5) indica gaps críticos, Medio (2.5-3.8) hay base pero falta consistencia, Alto (≥3.8) el proceso es maduro.</t>
        </is>
      </c>
    </row>
    <row r="28" ht="35" customHeight="1">
      <c r="A28" s="9" t="inlineStr">
        <is>
          <t>5. Identifica las 2-3 categorías con puntaje más bajo — esas son tus focos de atención para los siguientes módulos.</t>
        </is>
      </c>
    </row>
    <row r="29" ht="35" customHeight="1">
      <c r="A29" s="9" t="inlineStr">
        <is>
          <t>6. RIESGO A EVITAR: No puntúes todo igual (todo 3). Si todas las respuestas son iguales, el diagnóstico no aporta información útil.</t>
        </is>
      </c>
    </row>
    <row r="30" ht="35" customHeight="1">
      <c r="A30" s="9" t="inlineStr">
        <is>
          <t>7. En OpsFlow puedes usar el botón de IA para generar un análisis crítico que detecta contradicciones entre tus respuestas.</t>
        </is>
      </c>
    </row>
  </sheetData>
  <mergeCells count="11">
    <mergeCell ref="A21:E21"/>
    <mergeCell ref="A29:I29"/>
    <mergeCell ref="A25:I25"/>
    <mergeCell ref="A28:I28"/>
    <mergeCell ref="A23:I23"/>
    <mergeCell ref="A1:E1"/>
    <mergeCell ref="A27:I27"/>
    <mergeCell ref="A30:I30"/>
    <mergeCell ref="A22:I22"/>
    <mergeCell ref="A26:I26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8FE6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4" customWidth="1" min="4" max="4"/>
    <col width="12" customWidth="1" min="5" max="5"/>
    <col width="14" customWidth="1" min="6" max="6"/>
    <col width="20" customWidth="1" min="7" max="7"/>
    <col width="14" customWidth="1" min="8" max="8"/>
    <col width="30" customWidth="1" min="9" max="9"/>
  </cols>
  <sheetData>
    <row r="1">
      <c r="A1" s="6" t="inlineStr">
        <is>
          <t>Mapa de Flujo de Valor (Value Stream Map)</t>
        </is>
      </c>
    </row>
    <row r="3">
      <c r="A3" s="3" t="inlineStr">
        <is>
          <t>#</t>
        </is>
      </c>
      <c r="B3" s="3" t="inlineStr">
        <is>
          <t>Paso</t>
        </is>
      </c>
      <c r="C3" s="3" t="inlineStr">
        <is>
          <t>Departamento</t>
        </is>
      </c>
      <c r="D3" s="3" t="inlineStr">
        <is>
          <t>Proceso (min)</t>
        </is>
      </c>
      <c r="E3" s="3" t="inlineStr">
        <is>
          <t>Espera (h)</t>
        </is>
      </c>
      <c r="F3" s="3" t="inlineStr">
        <is>
          <t>Retrabajo (%)</t>
        </is>
      </c>
      <c r="G3" s="3" t="inlineStr">
        <is>
          <t>Sistema</t>
        </is>
      </c>
      <c r="H3" s="3" t="inlineStr">
        <is>
          <t>¿Agrega valor?</t>
        </is>
      </c>
      <c r="I3" s="3" t="inlineStr">
        <is>
          <t>Observaciones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2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5" t="n">
        <v>4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>
        <v>6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8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>
        <v>9</v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>
        <v>10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5">
      <c r="B15" s="7" t="inlineStr">
        <is>
          <t>Lead time total (horas)</t>
        </is>
      </c>
      <c r="D15" s="7">
        <f>SUM(D4:D13)/60+SUM(E4:E13)</f>
        <v/>
      </c>
    </row>
    <row r="16">
      <c r="B16" s="7" t="inlineStr">
        <is>
          <t>Lead time total (días)</t>
        </is>
      </c>
      <c r="D16" s="7" t="inlineStr"/>
    </row>
    <row r="17">
      <c r="B17" s="7" t="inlineStr">
        <is>
          <t>Tiempo de proceso (min)</t>
        </is>
      </c>
      <c r="D17" s="7" t="inlineStr"/>
    </row>
    <row r="18">
      <c r="B18" s="7" t="inlineStr">
        <is>
          <t>Eficiencia de flujo (%)</t>
        </is>
      </c>
      <c r="D18" s="7" t="inlineStr"/>
    </row>
    <row r="21">
      <c r="A21" s="2" t="inlineStr"/>
    </row>
    <row r="22" ht="22" customHeight="1">
      <c r="A22" s="8" t="inlineStr">
        <is>
          <t>INSTRUCCIONES</t>
        </is>
      </c>
    </row>
    <row r="23" ht="35" customHeight="1">
      <c r="A23" s="9" t="inlineStr">
        <is>
          <t>1. Lista TODOS los pasos del proceso en orden, desde que inicia la solicitud hasta que se entrega el resultado.</t>
        </is>
      </c>
    </row>
    <row r="24" ht="35" customHeight="1">
      <c r="A24" s="9" t="inlineStr">
        <is>
          <t>2. Tiempo de proceso (min) = minutos de TRABAJO ACTIVO en ese paso. NO incluye esperas.</t>
        </is>
      </c>
    </row>
    <row r="25" ht="35" customHeight="1">
      <c r="A25" s="9" t="inlineStr">
        <is>
          <t>3. Espera (h) = horas que pasan entre que termina este paso y empieza el siguiente. Incluye colas, aprobaciones, etc.</t>
        </is>
      </c>
    </row>
    <row r="26" ht="35" customHeight="1">
      <c r="A26" s="9" t="inlineStr">
        <is>
          <t>4. Retrabajo (%) = porcentaje de veces que hay que repetir o corregir algo en este paso.</t>
        </is>
      </c>
    </row>
    <row r="27" ht="35" customHeight="1">
      <c r="A27" s="9" t="inlineStr">
        <is>
          <t>5. ¿Agrega valor? = ¿El cliente final pagaría por este paso? Validaciones internas, aprobaciones y esperas NO agregan valor.</t>
        </is>
      </c>
    </row>
    <row r="28" ht="35" customHeight="1">
      <c r="A28" s="9" t="inlineStr">
        <is>
          <t>6. Lead time total = suma de todos los tiempos de proceso (convertidos a horas) + suma de todas las esperas.</t>
        </is>
      </c>
    </row>
    <row r="29" ht="35" customHeight="1">
      <c r="A29" s="9" t="inlineStr">
        <is>
          <t>7. Eficiencia de flujo = tiempo de valor / lead time total. En la mayoría de empresas está entre 1% y 5%.</t>
        </is>
      </c>
    </row>
    <row r="30" ht="35" customHeight="1">
      <c r="A30" s="9" t="inlineStr">
        <is>
          <t>8. RIESGO A EVITAR: Mapear el proceso ideal, no el real. El VSM debe reflejar lo que pasa HOY, incluyendo los workarounds.</t>
        </is>
      </c>
    </row>
    <row r="31" ht="35" customHeight="1">
      <c r="A31" s="9" t="inlineStr">
        <is>
          <t>9. No olvides los handoffs informales — si la coordinación es por WhatsApp, eso es un paso del proceso.</t>
        </is>
      </c>
    </row>
  </sheetData>
  <mergeCells count="12">
    <mergeCell ref="A29:I29"/>
    <mergeCell ref="A25:I25"/>
    <mergeCell ref="A28:I28"/>
    <mergeCell ref="A21:I21"/>
    <mergeCell ref="A1:I1"/>
    <mergeCell ref="A23:I23"/>
    <mergeCell ref="A27:I27"/>
    <mergeCell ref="A30:I30"/>
    <mergeCell ref="A31:I31"/>
    <mergeCell ref="A22:I22"/>
    <mergeCell ref="A26:I26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12" customWidth="1" min="4" max="4"/>
    <col width="14" customWidth="1" min="5" max="5"/>
    <col width="12" customWidth="1" min="6" max="6"/>
    <col width="30" customWidth="1" min="7" max="7"/>
    <col width="30" customWidth="1" min="8" max="8"/>
  </cols>
  <sheetData>
    <row r="1">
      <c r="A1" s="6" t="inlineStr">
        <is>
          <t>Matriz de Riesgo Contextual</t>
        </is>
      </c>
    </row>
    <row r="3">
      <c r="A3" s="3" t="inlineStr">
        <is>
          <t>#</t>
        </is>
      </c>
      <c r="B3" s="3" t="inlineStr">
        <is>
          <t>Riesgo</t>
        </is>
      </c>
      <c r="C3" s="3" t="inlineStr">
        <is>
          <t>Tipo</t>
        </is>
      </c>
      <c r="D3" s="3" t="inlineStr">
        <is>
          <t>Prob (1-5)</t>
        </is>
      </c>
      <c r="E3" s="3" t="inlineStr">
        <is>
          <t>Impacto (1-5)</t>
        </is>
      </c>
      <c r="F3" s="3" t="inlineStr">
        <is>
          <t>Exposición</t>
        </is>
      </c>
      <c r="G3" s="3" t="inlineStr">
        <is>
          <t>Señales tempranas</t>
        </is>
      </c>
      <c r="H3" s="3" t="inlineStr">
        <is>
          <t>Mitigaciones</t>
        </is>
      </c>
    </row>
    <row r="4">
      <c r="A4" s="4" t="n">
        <v>1</v>
      </c>
      <c r="B4" s="4" t="n"/>
      <c r="C4" s="4" t="n"/>
      <c r="D4" s="4" t="n"/>
      <c r="E4" s="4" t="n"/>
      <c r="F4" s="4">
        <f>D4*E4</f>
        <v/>
      </c>
      <c r="G4" s="4" t="n"/>
      <c r="H4" s="4" t="n"/>
    </row>
    <row r="5">
      <c r="A5" s="5" t="n">
        <v>2</v>
      </c>
      <c r="B5" s="5" t="n"/>
      <c r="C5" s="5" t="n"/>
      <c r="D5" s="5" t="n"/>
      <c r="E5" s="5" t="n"/>
      <c r="F5" s="5">
        <f>D5*E5</f>
        <v/>
      </c>
      <c r="G5" s="5" t="n"/>
      <c r="H5" s="5" t="n"/>
    </row>
    <row r="6">
      <c r="A6" s="4" t="n">
        <v>3</v>
      </c>
      <c r="B6" s="4" t="n"/>
      <c r="C6" s="4" t="n"/>
      <c r="D6" s="4" t="n"/>
      <c r="E6" s="4" t="n"/>
      <c r="F6" s="4">
        <f>D6*E6</f>
        <v/>
      </c>
      <c r="G6" s="4" t="n"/>
      <c r="H6" s="4" t="n"/>
    </row>
    <row r="7">
      <c r="A7" s="5" t="n">
        <v>4</v>
      </c>
      <c r="B7" s="5" t="n"/>
      <c r="C7" s="5" t="n"/>
      <c r="D7" s="5" t="n"/>
      <c r="E7" s="5" t="n"/>
      <c r="F7" s="5">
        <f>D7*E7</f>
        <v/>
      </c>
      <c r="G7" s="5" t="n"/>
      <c r="H7" s="5" t="n"/>
    </row>
    <row r="8">
      <c r="A8" s="4" t="n">
        <v>5</v>
      </c>
      <c r="B8" s="4" t="n"/>
      <c r="C8" s="4" t="n"/>
      <c r="D8" s="4" t="n"/>
      <c r="E8" s="4" t="n"/>
      <c r="F8" s="4">
        <f>D8*E8</f>
        <v/>
      </c>
      <c r="G8" s="4" t="n"/>
      <c r="H8" s="4" t="n"/>
    </row>
    <row r="9">
      <c r="A9" s="5" t="n">
        <v>6</v>
      </c>
      <c r="B9" s="5" t="n"/>
      <c r="C9" s="5" t="n"/>
      <c r="D9" s="5" t="n"/>
      <c r="E9" s="5" t="n"/>
      <c r="F9" s="5">
        <f>D9*E9</f>
        <v/>
      </c>
      <c r="G9" s="5" t="n"/>
      <c r="H9" s="5" t="n"/>
    </row>
    <row r="10">
      <c r="A10" s="4" t="n">
        <v>7</v>
      </c>
      <c r="B10" s="4" t="n"/>
      <c r="C10" s="4" t="n"/>
      <c r="D10" s="4" t="n"/>
      <c r="E10" s="4" t="n"/>
      <c r="F10" s="4">
        <f>D10*E10</f>
        <v/>
      </c>
      <c r="G10" s="4" t="n"/>
      <c r="H10" s="4" t="n"/>
    </row>
    <row r="11">
      <c r="A11" s="5" t="n">
        <v>8</v>
      </c>
      <c r="B11" s="5" t="n"/>
      <c r="C11" s="5" t="n"/>
      <c r="D11" s="5" t="n"/>
      <c r="E11" s="5" t="n"/>
      <c r="F11" s="5">
        <f>D11*E11</f>
        <v/>
      </c>
      <c r="G11" s="5" t="n"/>
      <c r="H11" s="5" t="n"/>
    </row>
    <row r="12">
      <c r="A12" s="4" t="n">
        <v>9</v>
      </c>
      <c r="B12" s="4" t="n"/>
      <c r="C12" s="4" t="n"/>
      <c r="D12" s="4" t="n"/>
      <c r="E12" s="4" t="n"/>
      <c r="F12" s="4">
        <f>D12*E12</f>
        <v/>
      </c>
      <c r="G12" s="4" t="n"/>
      <c r="H12" s="4" t="n"/>
    </row>
    <row r="13">
      <c r="A13" s="5" t="n">
        <v>10</v>
      </c>
      <c r="B13" s="5" t="n"/>
      <c r="C13" s="5" t="n"/>
      <c r="D13" s="5" t="n"/>
      <c r="E13" s="5" t="n"/>
      <c r="F13" s="5">
        <f>D13*E13</f>
        <v/>
      </c>
      <c r="G13" s="5" t="n"/>
      <c r="H13" s="5" t="n"/>
    </row>
    <row r="16">
      <c r="A16" s="2" t="inlineStr"/>
    </row>
    <row r="17" ht="22" customHeight="1">
      <c r="A17" s="8" t="inlineStr">
        <is>
          <t>INSTRUCCIONES</t>
        </is>
      </c>
    </row>
    <row r="18" ht="35" customHeight="1">
      <c r="A18" s="9" t="inlineStr">
        <is>
          <t>1. Revisa cada paso del VSM y pregunta: ¿qué puede fallar aquí? ¿qué factores externos pueden afectarlo?</t>
        </is>
      </c>
    </row>
    <row r="19" ht="35" customHeight="1">
      <c r="A19" s="9" t="inlineStr">
        <is>
          <t>2. Tipos de riesgo sugeridos: Energía, Talento, Reposición, Gobierno, Proveedor externo, Disciplina comercial, Tecnología.</t>
        </is>
      </c>
    </row>
    <row r="20" ht="35" customHeight="1">
      <c r="A20" s="9" t="inlineStr">
        <is>
          <t>3. Probabilidad: 1 = Raro | 2 = Poco probable | 3 = Posible | 4 = Probable | 5 = Casi seguro.</t>
        </is>
      </c>
    </row>
    <row r="21" ht="35" customHeight="1">
      <c r="A21" s="9" t="inlineStr">
        <is>
          <t>4. Impacto: 1 = Insignificante | 2 = Menor | 3 = Moderado | 4 = Mayor | 5 = Catastrófico.</t>
        </is>
      </c>
    </row>
    <row r="22" ht="35" customHeight="1">
      <c r="A22" s="9" t="inlineStr">
        <is>
          <t>5. Exposición = Probabilidad × Impacto. Se calcula automáticamente. Prioriza los de mayor exposición.</t>
        </is>
      </c>
    </row>
    <row r="23" ht="35" customHeight="1">
      <c r="A23" s="9" t="inlineStr">
        <is>
          <t>6. Señales tempranas: ¿cómo sabrías que este riesgo se está activando ANTES de que se materialice?</t>
        </is>
      </c>
    </row>
    <row r="24" ht="35" customHeight="1">
      <c r="A24" s="9" t="inlineStr">
        <is>
          <t>7. Mitigaciones: acciones realistas con los recursos que tienes. No planes ideales que requieran inversión masiva.</t>
        </is>
      </c>
    </row>
    <row r="25" ht="35" customHeight="1">
      <c r="A25" s="9" t="inlineStr">
        <is>
          <t>8. RIESGO A EVITAR: Normalizar riesgos. Que 'siempre hay microcortes' no significa que no sea un riesgo a gestionar.</t>
        </is>
      </c>
    </row>
  </sheetData>
  <mergeCells count="11">
    <mergeCell ref="A25:I25"/>
    <mergeCell ref="A19:I19"/>
    <mergeCell ref="A22:I22"/>
    <mergeCell ref="A17:I17"/>
    <mergeCell ref="A18:I18"/>
    <mergeCell ref="A23:I23"/>
    <mergeCell ref="A24:I24"/>
    <mergeCell ref="A1:H1"/>
    <mergeCell ref="A20:I20"/>
    <mergeCell ref="A21:I21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20" customWidth="1" min="8" max="8"/>
    <col width="20" customWidth="1" min="9" max="9"/>
  </cols>
  <sheetData>
    <row r="1">
      <c r="A1" s="6" t="inlineStr">
        <is>
          <t>Costo del Desperdicio</t>
        </is>
      </c>
    </row>
    <row r="3">
      <c r="A3" s="3" t="inlineStr">
        <is>
          <t>#</t>
        </is>
      </c>
      <c r="B3" s="3" t="inlineStr">
        <is>
          <t>Problema</t>
        </is>
      </c>
      <c r="C3" s="3" t="inlineStr">
        <is>
          <t>Frec/sem</t>
        </is>
      </c>
      <c r="D3" s="3" t="inlineStr">
        <is>
          <t>Min/evento</t>
        </is>
      </c>
      <c r="E3" s="3" t="inlineStr">
        <is>
          <t>$/hora</t>
        </is>
      </c>
      <c r="F3" s="3" t="inlineStr">
        <is>
          <t>Unidades afect.</t>
        </is>
      </c>
      <c r="G3" s="3" t="inlineStr">
        <is>
          <t>Margen/unidad</t>
        </is>
      </c>
      <c r="H3" s="3" t="inlineStr">
        <is>
          <t>Costo laboral mensual</t>
        </is>
      </c>
      <c r="I3" s="3" t="inlineStr">
        <is>
          <t>Costo total mensual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>
        <f>C4*D4/60*E4*4.33</f>
        <v/>
      </c>
      <c r="I4" s="4">
        <f>H4+F4*G4*C4*4.33</f>
        <v/>
      </c>
    </row>
    <row r="5">
      <c r="A5" s="5" t="n">
        <v>2</v>
      </c>
      <c r="B5" s="5" t="n"/>
      <c r="C5" s="5" t="n"/>
      <c r="D5" s="5" t="n"/>
      <c r="E5" s="5" t="n"/>
      <c r="F5" s="5" t="n"/>
      <c r="G5" s="5" t="n"/>
      <c r="H5" s="5">
        <f>C5*D5/60*E5*4.33</f>
        <v/>
      </c>
      <c r="I5" s="5">
        <f>H5+F5*G5*C5*4.33</f>
        <v/>
      </c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>
        <f>C6*D6/60*E6*4.33</f>
        <v/>
      </c>
      <c r="I6" s="4">
        <f>H6+F6*G6*C6*4.33</f>
        <v/>
      </c>
    </row>
    <row r="7">
      <c r="A7" s="5" t="n">
        <v>4</v>
      </c>
      <c r="B7" s="5" t="n"/>
      <c r="C7" s="5" t="n"/>
      <c r="D7" s="5" t="n"/>
      <c r="E7" s="5" t="n"/>
      <c r="F7" s="5" t="n"/>
      <c r="G7" s="5" t="n"/>
      <c r="H7" s="5">
        <f>C7*D7/60*E7*4.33</f>
        <v/>
      </c>
      <c r="I7" s="5">
        <f>H7+F7*G7*C7*4.33</f>
        <v/>
      </c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>
        <f>C8*D8/60*E8*4.33</f>
        <v/>
      </c>
      <c r="I8" s="4">
        <f>H8+F8*G8*C8*4.33</f>
        <v/>
      </c>
    </row>
    <row r="9">
      <c r="A9" s="5" t="n">
        <v>6</v>
      </c>
      <c r="B9" s="5" t="n"/>
      <c r="C9" s="5" t="n"/>
      <c r="D9" s="5" t="n"/>
      <c r="E9" s="5" t="n"/>
      <c r="F9" s="5" t="n"/>
      <c r="G9" s="5" t="n"/>
      <c r="H9" s="5">
        <f>C9*D9/60*E9*4.33</f>
        <v/>
      </c>
      <c r="I9" s="5">
        <f>H9+F9*G9*C9*4.33</f>
        <v/>
      </c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>
        <f>C10*D10/60*E10*4.33</f>
        <v/>
      </c>
      <c r="I10" s="4">
        <f>H10+F10*G10*C10*4.33</f>
        <v/>
      </c>
    </row>
    <row r="11">
      <c r="A11" s="5" t="n">
        <v>8</v>
      </c>
      <c r="B11" s="5" t="n"/>
      <c r="C11" s="5" t="n"/>
      <c r="D11" s="5" t="n"/>
      <c r="E11" s="5" t="n"/>
      <c r="F11" s="5" t="n"/>
      <c r="G11" s="5" t="n"/>
      <c r="H11" s="5">
        <f>C11*D11/60*E11*4.33</f>
        <v/>
      </c>
      <c r="I11" s="5">
        <f>H11+F11*G11*C11*4.33</f>
        <v/>
      </c>
    </row>
    <row r="14">
      <c r="A14" s="2" t="inlineStr"/>
    </row>
    <row r="15" ht="22" customHeight="1">
      <c r="A15" s="8" t="inlineStr">
        <is>
          <t>INSTRUCCIONES</t>
        </is>
      </c>
    </row>
    <row r="16" ht="35" customHeight="1">
      <c r="A16" s="9" t="inlineStr">
        <is>
          <t>1. Identifica cada problema operativo que genera costo: errores, esperas, retrabajos, quiebres, etc.</t>
        </is>
      </c>
    </row>
    <row r="17" ht="35" customHeight="1">
      <c r="A17" s="9" t="inlineStr">
        <is>
          <t>2. Frecuencia/semana: ¿cuántas veces por semana ocurre este problema? Usa datos reales si los tienes.</t>
        </is>
      </c>
    </row>
    <row r="18" ht="35" customHeight="1">
      <c r="A18" s="9" t="inlineStr">
        <is>
          <t>3. Minutos/evento: ¿cuánto tiempo se pierde cada vez que ocurre? Incluye el tiempo de todas las personas involucradas.</t>
        </is>
      </c>
    </row>
    <row r="19" ht="35" customHeight="1">
      <c r="A19" s="9" t="inlineStr">
        <is>
          <t>4. $/hora: costo hora laboral de quienes intervienen en corregir el problema. Salario mensual ÷ 160h es buena aproximación.</t>
        </is>
      </c>
    </row>
    <row r="20" ht="35" customHeight="1">
      <c r="A20" s="9" t="inlineStr">
        <is>
          <t>5. Unidades afectadas: si el problema causa pérdida de ventas, ¿cuántas unidades/pedidos se pierden por evento?</t>
        </is>
      </c>
    </row>
    <row r="21" ht="35" customHeight="1">
      <c r="A21" s="9" t="inlineStr">
        <is>
          <t>6. Margen/unidad: margen de contribución por cada unidad perdida. Ticket promedio × % margen.</t>
        </is>
      </c>
    </row>
    <row r="22" ht="35" customHeight="1">
      <c r="A22" s="9" t="inlineStr">
        <is>
          <t>7. Fórmula: Costo laboral mensual = (frecuencia × minutos / 60) × $/hora × 4.33 semanas/mes.</t>
        </is>
      </c>
    </row>
    <row r="23" ht="35" customHeight="1">
      <c r="A23" s="9" t="inlineStr">
        <is>
          <t>8. Fórmula: Costo total = Costo laboral + (Unidades × Margen × Frecuencia × 4.33).</t>
        </is>
      </c>
    </row>
    <row r="24" ht="35" customHeight="1">
      <c r="A24" s="9" t="inlineStr">
        <is>
          <t>9. RIESGO A EVITAR: Inventar frecuencias sin datos. Mejor un estimado conservador que un número inflado.</t>
        </is>
      </c>
    </row>
  </sheetData>
  <mergeCells count="12">
    <mergeCell ref="A15:I15"/>
    <mergeCell ref="A19:I19"/>
    <mergeCell ref="A14:I14"/>
    <mergeCell ref="A1:I1"/>
    <mergeCell ref="A17:I17"/>
    <mergeCell ref="A18:I18"/>
    <mergeCell ref="A23:I23"/>
    <mergeCell ref="A24:I24"/>
    <mergeCell ref="A22:I22"/>
    <mergeCell ref="A20:I20"/>
    <mergeCell ref="A21:I21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6" t="inlineStr">
        <is>
          <t>Priorización de Iniciativas</t>
        </is>
      </c>
    </row>
    <row r="3">
      <c r="A3" s="3" t="inlineStr">
        <is>
          <t>#</t>
        </is>
      </c>
      <c r="B3" s="3" t="inlineStr">
        <is>
          <t>Iniciativa</t>
        </is>
      </c>
      <c r="C3" s="3" t="inlineStr">
        <is>
          <t>Lead time</t>
        </is>
      </c>
      <c r="D3" s="3" t="inlineStr">
        <is>
          <t>Económico</t>
        </is>
      </c>
      <c r="E3" s="3" t="inlineStr">
        <is>
          <t>Resiliencia</t>
        </is>
      </c>
      <c r="F3" s="3" t="inlineStr">
        <is>
          <t>Factibilidad</t>
        </is>
      </c>
      <c r="G3" s="3" t="inlineStr">
        <is>
          <t>Esfuerzo</t>
        </is>
      </c>
      <c r="H3" s="3" t="inlineStr">
        <is>
          <t>Dep. ext.</t>
        </is>
      </c>
      <c r="I3" s="3" t="inlineStr">
        <is>
          <t>Score</t>
        </is>
      </c>
      <c r="J3" s="3" t="inlineStr">
        <is>
          <t>Clasificación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 t="n"/>
      <c r="I4" s="4">
        <f>C4*0.25+D4*0.25+E4*0.2+F4*0.2+(6-G4)*0.05+(6-H4)*0.05</f>
        <v/>
      </c>
      <c r="J4" s="4">
        <f>IF(I4&gt;=4,"Atacar ya",IF(I4&gt;=3.2,"Diseñar","Postergar"))</f>
        <v/>
      </c>
    </row>
    <row r="5">
      <c r="A5" s="5" t="n">
        <v>2</v>
      </c>
      <c r="B5" s="5" t="n"/>
      <c r="C5" s="5" t="n"/>
      <c r="D5" s="5" t="n"/>
      <c r="E5" s="5" t="n"/>
      <c r="F5" s="5" t="n"/>
      <c r="G5" s="5" t="n"/>
      <c r="H5" s="5" t="n"/>
      <c r="I5" s="5">
        <f>C5*0.25+D5*0.25+E5*0.2+F5*0.2+(6-G5)*0.05+(6-H5)*0.05</f>
        <v/>
      </c>
      <c r="J5" s="5">
        <f>IF(I5&gt;=4,"Atacar ya",IF(I5&gt;=3.2,"Diseñar","Postergar"))</f>
        <v/>
      </c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 t="n"/>
      <c r="I6" s="4">
        <f>C6*0.25+D6*0.25+E6*0.2+F6*0.2+(6-G6)*0.05+(6-H6)*0.05</f>
        <v/>
      </c>
      <c r="J6" s="4">
        <f>IF(I6&gt;=4,"Atacar ya",IF(I6&gt;=3.2,"Diseñar","Postergar"))</f>
        <v/>
      </c>
    </row>
    <row r="7">
      <c r="A7" s="5" t="n">
        <v>4</v>
      </c>
      <c r="B7" s="5" t="n"/>
      <c r="C7" s="5" t="n"/>
      <c r="D7" s="5" t="n"/>
      <c r="E7" s="5" t="n"/>
      <c r="F7" s="5" t="n"/>
      <c r="G7" s="5" t="n"/>
      <c r="H7" s="5" t="n"/>
      <c r="I7" s="5">
        <f>C7*0.25+D7*0.25+E7*0.2+F7*0.2+(6-G7)*0.05+(6-H7)*0.05</f>
        <v/>
      </c>
      <c r="J7" s="5">
        <f>IF(I7&gt;=4,"Atacar ya",IF(I7&gt;=3.2,"Diseñar","Postergar"))</f>
        <v/>
      </c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 t="n"/>
      <c r="I8" s="4">
        <f>C8*0.25+D8*0.25+E8*0.2+F8*0.2+(6-G8)*0.05+(6-H8)*0.05</f>
        <v/>
      </c>
      <c r="J8" s="4">
        <f>IF(I8&gt;=4,"Atacar ya",IF(I8&gt;=3.2,"Diseñar","Postergar"))</f>
        <v/>
      </c>
    </row>
    <row r="9">
      <c r="A9" s="5" t="n">
        <v>6</v>
      </c>
      <c r="B9" s="5" t="n"/>
      <c r="C9" s="5" t="n"/>
      <c r="D9" s="5" t="n"/>
      <c r="E9" s="5" t="n"/>
      <c r="F9" s="5" t="n"/>
      <c r="G9" s="5" t="n"/>
      <c r="H9" s="5" t="n"/>
      <c r="I9" s="5">
        <f>C9*0.25+D9*0.25+E9*0.2+F9*0.2+(6-G9)*0.05+(6-H9)*0.05</f>
        <v/>
      </c>
      <c r="J9" s="5">
        <f>IF(I9&gt;=4,"Atacar ya",IF(I9&gt;=3.2,"Diseñar","Postergar"))</f>
        <v/>
      </c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 t="n"/>
      <c r="I10" s="4">
        <f>C10*0.25+D10*0.25+E10*0.2+F10*0.2+(6-G10)*0.05+(6-H10)*0.05</f>
        <v/>
      </c>
      <c r="J10" s="4">
        <f>IF(I10&gt;=4,"Atacar ya",IF(I10&gt;=3.2,"Diseñar","Postergar"))</f>
        <v/>
      </c>
    </row>
    <row r="11">
      <c r="A11" s="5" t="n">
        <v>8</v>
      </c>
      <c r="B11" s="5" t="n"/>
      <c r="C11" s="5" t="n"/>
      <c r="D11" s="5" t="n"/>
      <c r="E11" s="5" t="n"/>
      <c r="F11" s="5" t="n"/>
      <c r="G11" s="5" t="n"/>
      <c r="H11" s="5" t="n"/>
      <c r="I11" s="5">
        <f>C11*0.25+D11*0.25+E11*0.2+F11*0.2+(6-G11)*0.05+(6-H11)*0.05</f>
        <v/>
      </c>
      <c r="J11" s="5">
        <f>IF(I11&gt;=4,"Atacar ya",IF(I11&gt;=3.2,"Diseñar","Postergar"))</f>
        <v/>
      </c>
    </row>
    <row r="12">
      <c r="A12" s="4" t="n">
        <v>9</v>
      </c>
      <c r="B12" s="4" t="n"/>
      <c r="C12" s="4" t="n"/>
      <c r="D12" s="4" t="n"/>
      <c r="E12" s="4" t="n"/>
      <c r="F12" s="4" t="n"/>
      <c r="G12" s="4" t="n"/>
      <c r="H12" s="4" t="n"/>
      <c r="I12" s="4">
        <f>C12*0.25+D12*0.25+E12*0.2+F12*0.2+(6-G12)*0.05+(6-H12)*0.05</f>
        <v/>
      </c>
      <c r="J12" s="4">
        <f>IF(I12&gt;=4,"Atacar ya",IF(I12&gt;=3.2,"Diseñar","Postergar"))</f>
        <v/>
      </c>
    </row>
    <row r="13">
      <c r="A13" s="5" t="n">
        <v>10</v>
      </c>
      <c r="B13" s="5" t="n"/>
      <c r="C13" s="5" t="n"/>
      <c r="D13" s="5" t="n"/>
      <c r="E13" s="5" t="n"/>
      <c r="F13" s="5" t="n"/>
      <c r="G13" s="5" t="n"/>
      <c r="H13" s="5" t="n"/>
      <c r="I13" s="5">
        <f>C13*0.25+D13*0.25+E13*0.2+F13*0.2+(6-G13)*0.05+(6-H13)*0.05</f>
        <v/>
      </c>
      <c r="J13" s="5">
        <f>IF(I13&gt;=4,"Atacar ya",IF(I13&gt;=3.2,"Diseñar","Postergar"))</f>
        <v/>
      </c>
    </row>
    <row r="20">
      <c r="A20" s="2" t="inlineStr">
        <is>
          <t>Score = LeadTime×0.25 + Económico×0.25 + Resiliencia×0.20 + Factibilidad×0.20 + (6-Esfuerzo)×0.05 + (6-DepExt)×0.05</t>
        </is>
      </c>
    </row>
    <row r="21">
      <c r="A21" s="2" t="inlineStr">
        <is>
          <t>Clasificación: ≥4.0 → Atacar ya | ≥3.2 → Diseñar | &lt;3.2 → Postergar</t>
        </is>
      </c>
    </row>
    <row r="23">
      <c r="A23" s="2" t="inlineStr"/>
    </row>
    <row r="24" ht="22" customHeight="1">
      <c r="A24" s="8" t="inlineStr">
        <is>
          <t>INSTRUCCIONES</t>
        </is>
      </c>
    </row>
    <row r="25" ht="35" customHeight="1">
      <c r="A25" s="9" t="inlineStr">
        <is>
          <t>1. Lista todas las iniciativas que surgieron del diagnóstico, VSM, riesgos y desperdicio.</t>
        </is>
      </c>
    </row>
    <row r="26" ht="35" customHeight="1">
      <c r="A26" s="9" t="inlineStr">
        <is>
          <t>2. Para cada una, puntúa del 1 al 5 en cada dimensión. Usa criterio del equipo, no de una sola persona.</t>
        </is>
      </c>
    </row>
    <row r="27" ht="35" customHeight="1">
      <c r="A27" s="9" t="inlineStr">
        <is>
          <t>3. Lead time: ¿cuánto reduce el tiempo total del proceso? | Económico: ¿cuánto dinero ahorra o genera?</t>
        </is>
      </c>
    </row>
    <row r="28" ht="35" customHeight="1">
      <c r="A28" s="9" t="inlineStr">
        <is>
          <t>4. Resiliencia: ¿hace al proceso más resistente a fallas? | Factibilidad: ¿se puede hacer en 30 días?</t>
        </is>
      </c>
    </row>
    <row r="29" ht="35" customHeight="1">
      <c r="A29" s="9" t="inlineStr">
        <is>
          <t>5. Esfuerzo (invertido): 1 = poco esfuerzo (mejor) | 5 = mucho esfuerzo. La fórmula invierte este valor.</t>
        </is>
      </c>
    </row>
    <row r="30" ht="35" customHeight="1">
      <c r="A30" s="9" t="inlineStr">
        <is>
          <t>6. Dep. externa (invertida): 1 = no depende de nadie (mejor) | 5 = depende de muchos. También se invierte.</t>
        </is>
      </c>
    </row>
    <row r="31" ht="35" customHeight="1">
      <c r="A31" s="9" t="inlineStr">
        <is>
          <t>7. Clasificación automática: ≥4.0 = Atacar ya | ≥3.2 = Diseñar | &lt;3.2 = Postergar.</t>
        </is>
      </c>
    </row>
    <row r="32" ht="35" customHeight="1">
      <c r="A32" s="9" t="inlineStr">
        <is>
          <t>8. RIESGO A EVITAR: Puntuar todo alto para que todo salga 'Atacar ya'. Si no priorizas, no decidiste nada.</t>
        </is>
      </c>
    </row>
  </sheetData>
  <mergeCells count="13">
    <mergeCell ref="A29:I29"/>
    <mergeCell ref="A1:J1"/>
    <mergeCell ref="A25:I25"/>
    <mergeCell ref="A28:I28"/>
    <mergeCell ref="A32:I32"/>
    <mergeCell ref="A21:J21"/>
    <mergeCell ref="A23:I23"/>
    <mergeCell ref="A27:I27"/>
    <mergeCell ref="A30:I30"/>
    <mergeCell ref="A20:J20"/>
    <mergeCell ref="A31:I31"/>
    <mergeCell ref="A26:I26"/>
    <mergeCell ref="A24:I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A1628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25" customWidth="1" min="9" max="9"/>
  </cols>
  <sheetData>
    <row r="1">
      <c r="A1" s="6" t="inlineStr">
        <is>
          <t>Plan de Acción — 30 Días</t>
        </is>
      </c>
    </row>
    <row r="3">
      <c r="A3" s="3" t="inlineStr">
        <is>
          <t>#</t>
        </is>
      </c>
      <c r="B3" s="3" t="inlineStr">
        <is>
          <t>Acción</t>
        </is>
      </c>
      <c r="C3" s="3" t="inlineStr">
        <is>
          <t>Responsable</t>
        </is>
      </c>
      <c r="D3" s="3" t="inlineStr">
        <is>
          <t>Inicio</t>
        </is>
      </c>
      <c r="E3" s="3" t="inlineStr">
        <is>
          <t>Fin</t>
        </is>
      </c>
      <c r="F3" s="3" t="inlineStr">
        <is>
          <t>Métrica líder</t>
        </is>
      </c>
      <c r="G3" s="3" t="inlineStr">
        <is>
          <t>Línea base</t>
        </is>
      </c>
      <c r="H3" s="3" t="inlineStr">
        <is>
          <t>Meta</t>
        </is>
      </c>
      <c r="I3" s="3" t="inlineStr">
        <is>
          <t>Contingencia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2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5" t="n">
        <v>4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>
        <v>6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8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>
        <v>9</v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>
        <v>10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6">
      <c r="A16" s="2" t="inlineStr"/>
    </row>
    <row r="17" ht="22" customHeight="1">
      <c r="A17" s="8" t="inlineStr">
        <is>
          <t>INSTRUCCIONES</t>
        </is>
      </c>
    </row>
    <row r="18" ht="35" customHeight="1">
      <c r="A18" s="9" t="inlineStr">
        <is>
          <t>1. Solo incluye acciones de iniciativas clasificadas como 'Atacar ya'. Las demás van a un backlog.</t>
        </is>
      </c>
    </row>
    <row r="19" ht="20" customHeight="1">
      <c r="A19" s="9" t="inlineStr">
        <is>
          <t>2. Máximo 5 acciones. Mejor 5 bien ejecutadas que 15 a medias.</t>
        </is>
      </c>
    </row>
    <row r="20" ht="20" customHeight="1">
      <c r="A20" s="9" t="inlineStr">
        <is>
          <t>3. UN responsable por acción. Si 'todos' son responsables, nadie lo es.</t>
        </is>
      </c>
    </row>
    <row r="21" ht="35" customHeight="1">
      <c r="A21" s="9" t="inlineStr">
        <is>
          <t>4. Métrica líder: el número que vas a medir para saber si la acción funcionó. Debe ser específica y medible.</t>
        </is>
      </c>
    </row>
    <row r="22" ht="20" customHeight="1">
      <c r="A22" s="9" t="inlineStr">
        <is>
          <t>5. Línea base: valor ACTUAL de la métrica (antes de la intervención).</t>
        </is>
      </c>
    </row>
    <row r="23" ht="20" customHeight="1">
      <c r="A23" s="9" t="inlineStr">
        <is>
          <t>6. Meta: valor esperado al final de los 30 días. Sé ambicioso pero realista.</t>
        </is>
      </c>
    </row>
    <row r="24" ht="35" customHeight="1">
      <c r="A24" s="9" t="inlineStr">
        <is>
          <t>7. Contingencia: ¿qué haces si la acción no funciona o se bloquea? Todo plan necesita un plan B.</t>
        </is>
      </c>
    </row>
    <row r="25" ht="35" customHeight="1">
      <c r="A25" s="9" t="inlineStr">
        <is>
          <t>8. RIESGO A EVITAR: Acciones vagas. 'Mejorar el proceso' NO es una acción. 'Implementar checklist de pedido con 5 campos obligatorios' SÍ lo es.</t>
        </is>
      </c>
    </row>
    <row r="26" ht="35" customHeight="1">
      <c r="A26" s="9" t="inlineStr">
        <is>
          <t>9. Pon fechas realistas. No comprimas todo en la primera semana — distribuye la carga.</t>
        </is>
      </c>
    </row>
  </sheetData>
  <mergeCells count="12">
    <mergeCell ref="A26:I26"/>
    <mergeCell ref="A25:I25"/>
    <mergeCell ref="A19:I19"/>
    <mergeCell ref="A1:I1"/>
    <mergeCell ref="A17:I17"/>
    <mergeCell ref="A18:I18"/>
    <mergeCell ref="A23:I23"/>
    <mergeCell ref="A24:I24"/>
    <mergeCell ref="A22:I22"/>
    <mergeCell ref="A20:I20"/>
    <mergeCell ref="A21:I21"/>
    <mergeCell ref="A16:I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8FE6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6" t="inlineStr">
        <is>
          <t>Seguimiento Semanal</t>
        </is>
      </c>
    </row>
    <row r="3">
      <c r="A3" s="3" t="inlineStr">
        <is>
          <t>Semana</t>
        </is>
      </c>
      <c r="B3" s="3" t="inlineStr">
        <is>
          <t>Lead Time</t>
        </is>
      </c>
      <c r="C3" s="3" t="inlineStr">
        <is>
          <t>OTD/OTIF %</t>
        </is>
      </c>
      <c r="D3" s="3" t="inlineStr">
        <is>
          <t>Corregidos %</t>
        </is>
      </c>
      <c r="E3" s="3" t="inlineStr">
        <is>
          <t>Reprogramadas %</t>
        </is>
      </c>
      <c r="F3" s="3" t="inlineStr">
        <is>
          <t>Retrabajo %</t>
        </is>
      </c>
      <c r="G3" s="3" t="inlineStr">
        <is>
          <t>Avance plan %</t>
        </is>
      </c>
      <c r="H3" s="3" t="inlineStr">
        <is>
          <t>Notas</t>
        </is>
      </c>
    </row>
    <row r="4">
      <c r="A4" s="4" t="inlineStr">
        <is>
          <t>S1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S2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4" t="inlineStr">
        <is>
          <t>S3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5" t="inlineStr">
        <is>
          <t>S4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s="4" t="inlineStr">
        <is>
          <t>S5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S6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>
        <is>
          <t>S7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S8</t>
        </is>
      </c>
      <c r="B11" s="5" t="n"/>
      <c r="C11" s="5" t="n"/>
      <c r="D11" s="5" t="n"/>
      <c r="E11" s="5" t="n"/>
      <c r="F11" s="5" t="n"/>
      <c r="G11" s="5" t="n"/>
      <c r="H11" s="5" t="n"/>
    </row>
    <row r="14">
      <c r="A14" s="2" t="inlineStr"/>
    </row>
    <row r="15" ht="22" customHeight="1">
      <c r="A15" s="8" t="inlineStr">
        <is>
          <t>INSTRUCCIONES</t>
        </is>
      </c>
    </row>
    <row r="16" ht="35" customHeight="1">
      <c r="A16" s="9" t="inlineStr">
        <is>
          <t>1. Al final de CADA semana, registra las métricas. Si no mides, no sabes si estás mejorando.</t>
        </is>
      </c>
    </row>
    <row r="17" ht="35" customHeight="1">
      <c r="A17" s="9" t="inlineStr">
        <is>
          <t>2. Lead Time: tiempo promedio de punta a punta del proceso esa semana (en días).</t>
        </is>
      </c>
    </row>
    <row r="18" ht="35" customHeight="1">
      <c r="A18" s="9" t="inlineStr">
        <is>
          <t>3. OTD/OTIF: porcentaje de entregas a tiempo y completas. La métrica de servicio al cliente.</t>
        </is>
      </c>
    </row>
    <row r="19" ht="35" customHeight="1">
      <c r="A19" s="9" t="inlineStr">
        <is>
          <t>4. Corregidos %: porcentaje de transacciones que requirieron corrección por errores.</t>
        </is>
      </c>
    </row>
    <row r="20" ht="35" customHeight="1">
      <c r="A20" s="9" t="inlineStr">
        <is>
          <t>5. Reprogramadas %: porcentaje de transacciones que se modificaron después de ingresadas.</t>
        </is>
      </c>
    </row>
    <row r="21" ht="20" customHeight="1">
      <c r="A21" s="9" t="inlineStr">
        <is>
          <t>6. Retrabajo %: porcentaje de transacciones que requirieron re-procesamiento.</t>
        </is>
      </c>
    </row>
    <row r="22" ht="20" customHeight="1">
      <c r="A22" s="9" t="inlineStr">
        <is>
          <t>7. Avance plan %: porcentaje estimado de avance del plan de 30 días.</t>
        </is>
      </c>
    </row>
    <row r="23" ht="35" customHeight="1">
      <c r="A23" s="9" t="inlineStr">
        <is>
          <t>8. ALERTA: Si una métrica empeora 2 semanas consecutivas, investiga la causa raíz antes de que sea crisis.</t>
        </is>
      </c>
    </row>
    <row r="24" ht="35" customHeight="1">
      <c r="A24" s="9" t="inlineStr">
        <is>
          <t>9. Notas: registra eventos inusuales (corte de energía, ausencia clave, cambio de prioridades) que expliquen variaciones.</t>
        </is>
      </c>
    </row>
    <row r="25" ht="35" customHeight="1">
      <c r="A25" s="9" t="inlineStr">
        <is>
          <t>10. Compara siempre contra la línea base del plan — no contra la semana anterior solamente.</t>
        </is>
      </c>
    </row>
  </sheetData>
  <mergeCells count="13">
    <mergeCell ref="A15:I15"/>
    <mergeCell ref="A25:I25"/>
    <mergeCell ref="A19:I19"/>
    <mergeCell ref="A22:I22"/>
    <mergeCell ref="A14:I14"/>
    <mergeCell ref="A17:I17"/>
    <mergeCell ref="A18:I18"/>
    <mergeCell ref="A23:I23"/>
    <mergeCell ref="A24:I24"/>
    <mergeCell ref="A1:H1"/>
    <mergeCell ref="A20:I20"/>
    <mergeCell ref="A21:I2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2026-03-24T06:50:16Z</dcterms:created>
  <dcterms:modified xsi:type="dcterms:W3CDTF">2026-03-24T06:55:07Z</dcterms:modified>
</cp:coreProperties>
</file>